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4acd22b958172e3/Dokumente/"/>
    </mc:Choice>
  </mc:AlternateContent>
  <xr:revisionPtr revIDLastSave="99" documentId="8_{DDB0BF89-4253-4E7F-8D22-FEAA6DA012E8}" xr6:coauthVersionLast="47" xr6:coauthVersionMax="47" xr10:uidLastSave="{55B73EAC-C22C-4656-9DEE-12DC198E6AB8}"/>
  <bookViews>
    <workbookView xWindow="-108" yWindow="-108" windowWidth="23256" windowHeight="12456" xr2:uid="{212DBA99-3642-4791-97AD-16D2BB4B49B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N2" i="1" l="1"/>
  <c r="N1" i="1"/>
  <c r="F11" i="1"/>
  <c r="F8" i="1"/>
  <c r="B8" i="1"/>
  <c r="F7" i="1"/>
  <c r="B7" i="1"/>
  <c r="F5" i="1"/>
  <c r="C5" i="1"/>
  <c r="F4" i="1"/>
  <c r="C4" i="1"/>
  <c r="F3" i="1"/>
  <c r="C3" i="1"/>
  <c r="F6" i="1"/>
  <c r="F2" i="1"/>
  <c r="C2" i="1"/>
</calcChain>
</file>

<file path=xl/sharedStrings.xml><?xml version="1.0" encoding="utf-8"?>
<sst xmlns="http://schemas.openxmlformats.org/spreadsheetml/2006/main" count="29" uniqueCount="24">
  <si>
    <t>Cafetière</t>
  </si>
  <si>
    <t>Objet</t>
  </si>
  <si>
    <t>Puissance moyenne (W)</t>
  </si>
  <si>
    <t>Durée (h)</t>
  </si>
  <si>
    <t>Total (Wh)</t>
  </si>
  <si>
    <t>Bouilloire</t>
  </si>
  <si>
    <t>Micro-ondes</t>
  </si>
  <si>
    <t>Taque électrique</t>
  </si>
  <si>
    <t>Boiler sous évier</t>
  </si>
  <si>
    <t>7L à 3,25m/L</t>
  </si>
  <si>
    <t>Tubes LED</t>
  </si>
  <si>
    <t>Tubes fluorescents T5</t>
  </si>
  <si>
    <t>Machines</t>
  </si>
  <si>
    <t>Scie à panneaux</t>
  </si>
  <si>
    <t>Modélisation</t>
  </si>
  <si>
    <t>Résistance + self</t>
  </si>
  <si>
    <t>Scie radiale</t>
  </si>
  <si>
    <t>Aspiration centralisée</t>
  </si>
  <si>
    <t xml:space="preserve">Scie sur table </t>
  </si>
  <si>
    <t>Ponceuse</t>
  </si>
  <si>
    <t>Scie à rubans</t>
  </si>
  <si>
    <t>Total journalier (Wh)</t>
  </si>
  <si>
    <t>Panneaux solaires (production totale) (W)</t>
  </si>
  <si>
    <t>Bornes électriques de charge (total conso)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</si>
</sst>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2B69F7-D229-434E-AE16-8A36E8F8790B}">
  <dimension ref="A1:N11"/>
  <sheetViews>
    <sheetView tabSelected="1" topLeftCell="J1" zoomScale="224" workbookViewId="0">
      <selection activeCell="M3" sqref="M3"/>
    </sheetView>
  </sheetViews>
  <sheetFormatPr defaultRowHeight="14.4" x14ac:dyDescent="0.3"/>
  <cols>
    <col min="1" max="1" width="18.6640625" bestFit="1" customWidth="1"/>
    <col min="2" max="2" width="21.21875" bestFit="1" customWidth="1"/>
    <col min="10" max="10" width="18.6640625" bestFit="1" customWidth="1"/>
    <col min="11" max="11" width="14.5546875" bestFit="1" customWidth="1"/>
    <col min="13" max="13" width="38.77734375" bestFit="1" customWidth="1"/>
  </cols>
  <sheetData>
    <row r="1" spans="1:14" x14ac:dyDescent="0.3">
      <c r="A1" t="s">
        <v>1</v>
      </c>
      <c r="B1" t="s">
        <v>2</v>
      </c>
      <c r="C1" t="s">
        <v>3</v>
      </c>
      <c r="F1" t="s">
        <v>4</v>
      </c>
      <c r="J1" t="s">
        <v>12</v>
      </c>
      <c r="K1" t="s">
        <v>14</v>
      </c>
      <c r="M1" t="s">
        <v>22</v>
      </c>
      <c r="N1">
        <f>1000* (9300/24)</f>
        <v>387500</v>
      </c>
    </row>
    <row r="2" spans="1:14" x14ac:dyDescent="0.3">
      <c r="A2" t="s">
        <v>0</v>
      </c>
      <c r="B2">
        <v>750</v>
      </c>
      <c r="C2">
        <f>(40*2)/60</f>
        <v>1.3333333333333333</v>
      </c>
      <c r="F2">
        <f>B2*C2</f>
        <v>1000</v>
      </c>
      <c r="J2" t="s">
        <v>13</v>
      </c>
      <c r="K2" t="s">
        <v>15</v>
      </c>
      <c r="M2" t="s">
        <v>23</v>
      </c>
      <c r="N2">
        <f>(120*60000)</f>
        <v>7200000</v>
      </c>
    </row>
    <row r="3" spans="1:14" x14ac:dyDescent="0.3">
      <c r="A3" t="s">
        <v>5</v>
      </c>
      <c r="B3">
        <v>2000</v>
      </c>
      <c r="C3">
        <f>(3.25*7)/60</f>
        <v>0.37916666666666665</v>
      </c>
      <c r="D3" t="s">
        <v>9</v>
      </c>
      <c r="F3">
        <f>B3*C3</f>
        <v>758.33333333333326</v>
      </c>
      <c r="J3" t="s">
        <v>16</v>
      </c>
      <c r="K3" t="s">
        <v>15</v>
      </c>
    </row>
    <row r="4" spans="1:14" x14ac:dyDescent="0.3">
      <c r="A4" t="s">
        <v>6</v>
      </c>
      <c r="B4">
        <v>700</v>
      </c>
      <c r="C4" s="1">
        <f>(10/60)</f>
        <v>0.16666666666666666</v>
      </c>
      <c r="F4">
        <f>B4*C4</f>
        <v>116.66666666666666</v>
      </c>
      <c r="J4" t="s">
        <v>17</v>
      </c>
      <c r="K4" t="s">
        <v>15</v>
      </c>
    </row>
    <row r="5" spans="1:14" x14ac:dyDescent="0.3">
      <c r="A5" t="s">
        <v>7</v>
      </c>
      <c r="B5">
        <v>2000</v>
      </c>
      <c r="C5" s="1">
        <f>(80/60)</f>
        <v>1.3333333333333333</v>
      </c>
      <c r="F5">
        <f>B5*C5</f>
        <v>2666.6666666666665</v>
      </c>
      <c r="J5" t="s">
        <v>18</v>
      </c>
      <c r="K5" t="s">
        <v>15</v>
      </c>
    </row>
    <row r="6" spans="1:14" x14ac:dyDescent="0.3">
      <c r="A6" t="s">
        <v>8</v>
      </c>
      <c r="B6">
        <v>140</v>
      </c>
      <c r="C6">
        <v>1</v>
      </c>
      <c r="F6">
        <f>B6*C6</f>
        <v>140</v>
      </c>
      <c r="J6" t="s">
        <v>19</v>
      </c>
      <c r="K6" t="s">
        <v>15</v>
      </c>
    </row>
    <row r="7" spans="1:14" x14ac:dyDescent="0.3">
      <c r="A7" t="s">
        <v>10</v>
      </c>
      <c r="B7">
        <f>15*80</f>
        <v>1200</v>
      </c>
      <c r="C7">
        <v>8</v>
      </c>
      <c r="F7">
        <f>B7*C7</f>
        <v>9600</v>
      </c>
      <c r="J7" t="s">
        <v>20</v>
      </c>
      <c r="K7" t="s">
        <v>15</v>
      </c>
    </row>
    <row r="8" spans="1:14" x14ac:dyDescent="0.3">
      <c r="A8" t="s">
        <v>11</v>
      </c>
      <c r="B8">
        <f>6*80</f>
        <v>480</v>
      </c>
      <c r="C8">
        <v>8</v>
      </c>
      <c r="F8">
        <f>B8*C8</f>
        <v>3840</v>
      </c>
    </row>
    <row r="10" spans="1:14" x14ac:dyDescent="0.3">
      <c r="F10" t="s">
        <v>21</v>
      </c>
    </row>
    <row r="11" spans="1:14" x14ac:dyDescent="0.3">
      <c r="F11">
        <f>SUM(F2:F8)</f>
        <v>18121.666666666664</v>
      </c>
    </row>
  </sheetData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Pierre Sluse</dc:creator>
  <cp:lastModifiedBy>Pierre Sluse</cp:lastModifiedBy>
  <dcterms:created xsi:type="dcterms:W3CDTF">2026-10-07T13:11:27Z</dcterms:created>
  <dcterms:modified xsi:type="dcterms:W3CDTF">2026-10-07T13:41:00Z</dcterms:modified>
</cp:coreProperties>
</file>